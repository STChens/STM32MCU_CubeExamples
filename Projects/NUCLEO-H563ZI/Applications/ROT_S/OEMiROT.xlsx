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s\STM32Cube\Repository\H5_V1.4.0\Projects\NUCLEO-H563ZI\Applications\ROT_S\"/>
    </mc:Choice>
  </mc:AlternateContent>
  <xr:revisionPtr revIDLastSave="0" documentId="13_ncr:1_{AFD5D420-BC87-426E-901B-EBB4FF6AD396}" xr6:coauthVersionLast="47" xr6:coauthVersionMax="47" xr10:uidLastSave="{00000000-0000-0000-0000-000000000000}"/>
  <bookViews>
    <workbookView xWindow="-28920" yWindow="-120" windowWidth="29040" windowHeight="15720" activeTab="1" xr2:uid="{EA4F91E5-2F2C-41F9-ADC4-50A0D48CACE5}"/>
  </bookViews>
  <sheets>
    <sheet name="OEMiROT + S only App (512KB)" sheetId="3" r:id="rId1"/>
    <sheet name="OEMiROT + S only App (2MB)" sheetId="2" r:id="rId2"/>
  </sheets>
  <definedNames>
    <definedName name="_xlnm._FilterDatabase" localSheetId="1" hidden="1">'OEMiROT + S only App (2MB)'!$A$6:$J$15</definedName>
    <definedName name="_xlnm._FilterDatabase" localSheetId="0" hidden="1">'OEMiROT + S only App (512KB)'!$A$6:$J$15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5" i="2" s="1"/>
  <c r="E14" i="2" s="1"/>
  <c r="H12" i="3"/>
  <c r="F12" i="3" s="1"/>
  <c r="H12" i="2"/>
  <c r="F21" i="3"/>
  <c r="E21" i="3"/>
  <c r="F19" i="3"/>
  <c r="E19" i="3"/>
  <c r="F15" i="3"/>
  <c r="G15" i="3" s="1"/>
  <c r="E15" i="3"/>
  <c r="E14" i="3" s="1"/>
  <c r="G14" i="3"/>
  <c r="F13" i="3"/>
  <c r="G13" i="3" s="1"/>
  <c r="H11" i="3"/>
  <c r="H9" i="3"/>
  <c r="F9" i="3" s="1"/>
  <c r="H8" i="3"/>
  <c r="F8" i="3"/>
  <c r="E9" i="3" s="1"/>
  <c r="E8" i="3"/>
  <c r="G7" i="3"/>
  <c r="E7" i="3"/>
  <c r="F21" i="2"/>
  <c r="E21" i="2"/>
  <c r="F19" i="2"/>
  <c r="E19" i="2"/>
  <c r="G14" i="2"/>
  <c r="F13" i="2"/>
  <c r="G13" i="2" s="1"/>
  <c r="H11" i="2"/>
  <c r="H9" i="2"/>
  <c r="F9" i="2" s="1"/>
  <c r="H8" i="2"/>
  <c r="F8" i="2" s="1"/>
  <c r="G7" i="2"/>
  <c r="E7" i="2"/>
  <c r="E8" i="2" s="1"/>
  <c r="G15" i="2" l="1"/>
  <c r="G12" i="3"/>
  <c r="F10" i="3"/>
  <c r="F11" i="3" s="1"/>
  <c r="E10" i="3"/>
  <c r="B19" i="3" s="1"/>
  <c r="G9" i="3"/>
  <c r="G8" i="3"/>
  <c r="E13" i="3"/>
  <c r="E9" i="2"/>
  <c r="E10" i="2" s="1"/>
  <c r="B19" i="2" s="1"/>
  <c r="G8" i="2"/>
  <c r="G9" i="2"/>
  <c r="F12" i="2"/>
  <c r="F10" i="2" s="1"/>
  <c r="E13" i="2"/>
  <c r="G12" i="2" l="1"/>
  <c r="F11" i="2"/>
  <c r="B21" i="3"/>
  <c r="C21" i="3" s="1"/>
  <c r="E11" i="3"/>
  <c r="D20" i="3"/>
  <c r="G10" i="3"/>
  <c r="C19" i="3"/>
  <c r="B20" i="3"/>
  <c r="C19" i="2"/>
  <c r="B20" i="2"/>
  <c r="E12" i="3" l="1"/>
  <c r="G11" i="3"/>
  <c r="F16" i="3"/>
  <c r="C20" i="3"/>
  <c r="F20" i="3"/>
  <c r="E20" i="3"/>
  <c r="B21" i="2"/>
  <c r="C21" i="2" s="1"/>
  <c r="F16" i="2"/>
  <c r="E11" i="2"/>
  <c r="G10" i="2"/>
  <c r="D20" i="2"/>
  <c r="F20" i="2" l="1"/>
  <c r="E20" i="2"/>
  <c r="G11" i="2"/>
  <c r="E12" i="2"/>
  <c r="C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tc={C4BC7059-F8CF-4419-ADF2-26961ACEF965}</author>
  </authors>
  <commentList>
    <comment ref="F6" authorId="0" shapeId="0" xr:uid="{C4BC7059-F8CF-4419-ADF2-26961ACEF96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align to 8KB page size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tc={38A4689F-4B1B-464D-979F-F9B810314B8B}</author>
  </authors>
  <commentList>
    <comment ref="F6" authorId="0" shapeId="0" xr:uid="{38A4689F-4B1B-464D-979F-F9B810314B8B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align to 8KB page size</t>
      </text>
    </comment>
  </commentList>
</comments>
</file>

<file path=xl/sharedStrings.xml><?xml version="1.0" encoding="utf-8"?>
<sst xmlns="http://schemas.openxmlformats.org/spreadsheetml/2006/main" count="216" uniqueCount="59">
  <si>
    <t>Flash area</t>
    <phoneticPr fontId="3" type="noConversion"/>
  </si>
  <si>
    <t>Area ID</t>
    <phoneticPr fontId="3" type="noConversion"/>
  </si>
  <si>
    <t>Start Address</t>
    <phoneticPr fontId="3" type="noConversion"/>
  </si>
  <si>
    <t>Enable</t>
    <phoneticPr fontId="3" type="noConversion"/>
  </si>
  <si>
    <t>Yes</t>
  </si>
  <si>
    <t>Yes</t>
    <phoneticPr fontId="3" type="noConversion"/>
  </si>
  <si>
    <t>No</t>
  </si>
  <si>
    <t>No</t>
    <phoneticPr fontId="3" type="noConversion"/>
  </si>
  <si>
    <t>BL2</t>
    <phoneticPr fontId="3" type="noConversion"/>
  </si>
  <si>
    <t>HDP protected</t>
    <phoneticPr fontId="3" type="noConversion"/>
  </si>
  <si>
    <t>Secure</t>
    <phoneticPr fontId="3" type="noConversion"/>
  </si>
  <si>
    <t>Scratch</t>
    <phoneticPr fontId="3" type="noConversion"/>
  </si>
  <si>
    <t>Purpose</t>
    <phoneticPr fontId="3" type="noConversion"/>
  </si>
  <si>
    <t>Sec Boot</t>
    <phoneticPr fontId="3" type="noConversion"/>
  </si>
  <si>
    <t>Swap slot</t>
    <phoneticPr fontId="3" type="noConversion"/>
  </si>
  <si>
    <t>App static data</t>
    <phoneticPr fontId="3" type="noConversion"/>
  </si>
  <si>
    <t>Authenticated</t>
    <phoneticPr fontId="3" type="noConversion"/>
  </si>
  <si>
    <t>NA</t>
    <phoneticPr fontId="3" type="noConversion"/>
  </si>
  <si>
    <t>During boot</t>
    <phoneticPr fontId="3" type="noConversion"/>
  </si>
  <si>
    <t>Area 0</t>
    <phoneticPr fontId="3" type="noConversion"/>
  </si>
  <si>
    <t xml:space="preserve">App data download </t>
    <phoneticPr fontId="3" type="noConversion"/>
  </si>
  <si>
    <t>During update</t>
    <phoneticPr fontId="3" type="noConversion"/>
  </si>
  <si>
    <t>FW download slot</t>
    <phoneticPr fontId="3" type="noConversion"/>
  </si>
  <si>
    <t>FW execution slot</t>
    <phoneticPr fontId="3" type="noConversion"/>
  </si>
  <si>
    <t>Reserved</t>
    <phoneticPr fontId="3" type="noConversion"/>
  </si>
  <si>
    <t>EDATA</t>
    <phoneticPr fontId="3" type="noConversion"/>
  </si>
  <si>
    <t>Loader</t>
    <phoneticPr fontId="3" type="noConversion"/>
  </si>
  <si>
    <t>unused space</t>
    <phoneticPr fontId="3" type="noConversion"/>
  </si>
  <si>
    <t>External loader</t>
    <phoneticPr fontId="3" type="noConversion"/>
  </si>
  <si>
    <t xml:space="preserve">NVM area </t>
    <phoneticPr fontId="3" type="noConversion"/>
  </si>
  <si>
    <t>SCRATCH</t>
    <phoneticPr fontId="3" type="noConversion"/>
  </si>
  <si>
    <t>LOADER</t>
    <phoneticPr fontId="3" type="noConversion"/>
  </si>
  <si>
    <t>Size (KB)</t>
    <phoneticPr fontId="3" type="noConversion"/>
  </si>
  <si>
    <t xml:space="preserve">Flash page size </t>
    <phoneticPr fontId="3" type="noConversion"/>
  </si>
  <si>
    <t>C000000</t>
    <phoneticPr fontId="3" type="noConversion"/>
  </si>
  <si>
    <t>Code execution</t>
    <phoneticPr fontId="3" type="noConversion"/>
  </si>
  <si>
    <t xml:space="preserve">Active slot </t>
    <phoneticPr fontId="3" type="noConversion"/>
  </si>
  <si>
    <t>Header</t>
    <phoneticPr fontId="3" type="noConversion"/>
  </si>
  <si>
    <t>FW</t>
    <phoneticPr fontId="3" type="noConversion"/>
  </si>
  <si>
    <t>Trailer</t>
    <phoneticPr fontId="3" type="noConversion"/>
  </si>
  <si>
    <t>Start Address (hex)</t>
    <phoneticPr fontId="3" type="noConversion"/>
  </si>
  <si>
    <t>End Address</t>
    <phoneticPr fontId="3" type="noConversion"/>
  </si>
  <si>
    <t>Nb Flash Pages</t>
    <phoneticPr fontId="3" type="noConversion"/>
  </si>
  <si>
    <t>Flash total size</t>
    <phoneticPr fontId="3" type="noConversion"/>
  </si>
  <si>
    <t>Flash base address</t>
    <phoneticPr fontId="3" type="noConversion"/>
  </si>
  <si>
    <t>Size max (hex)</t>
  </si>
  <si>
    <t>Area 4</t>
  </si>
  <si>
    <t>Area 2</t>
  </si>
  <si>
    <t>S Data (A)</t>
  </si>
  <si>
    <t>App FW (A)</t>
  </si>
  <si>
    <t>S Data (D)</t>
  </si>
  <si>
    <t>App FW (D)</t>
  </si>
  <si>
    <t>Size (hex)</t>
  </si>
  <si>
    <t>Area 6</t>
  </si>
  <si>
    <t>Download slot?</t>
  </si>
  <si>
    <t>S data enabled?</t>
  </si>
  <si>
    <t>Swap mode?</t>
  </si>
  <si>
    <t>S data size (nb pages)</t>
  </si>
  <si>
    <t>total size  (KB)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</si>
</sst>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1"/>
      <color theme="0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3" borderId="0" applyNumberFormat="0" applyBorder="0" applyAlignment="0" applyProtection="0"/>
  </cellStyleXfs>
  <cellXfs count="2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0" fillId="4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5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3" borderId="0" xfId="1" applyFont="1" applyAlignment="1">
      <alignment horizontal="center" vertical="center"/>
    </xf>
    <xf numFmtId="0" fontId="1" fillId="3" borderId="0" xfId="1" applyAlignment="1">
      <alignment horizontal="right" vertical="center"/>
    </xf>
  </cellXfs>
  <cellStyles count="2">
    <cellStyle name="20% - Accent2" xfId="1" builtinId="3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ny CHEN" id="{DA7C2F05-062F-429C-8D88-B06321654FA0}" userId="S::sunny.chen@st.com::a300bb7f-0dc8-4f82-8096-8f7ada5fd4f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5-03-10T03:53:56.17" personId="{DA7C2F05-062F-429C-8D88-B06321654FA0}" id="{C4BC7059-F8CF-4419-ADF2-26961ACEF965}">
    <text>Need to align to 8KB page size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" dT="2025-03-10T03:53:56.17" personId="{DA7C2F05-062F-429C-8D88-B06321654FA0}" id="{38A4689F-4B1B-464D-979F-F9B810314B8B}">
    <text>Need to align to 8KB page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C923-63B6-4460-BD12-9B91833135F5}">
  <dimension ref="A1:K21"/>
  <sheetViews>
    <sheetView zoomScale="130" zoomScaleNormal="130" workbookViewId="0">
      <selection activeCell="I21" sqref="I21"/>
    </sheetView>
  </sheetViews>
  <sheetFormatPr defaultRowHeight="15"/>
  <cols>
    <col min="1" max="1" width="15.42578125" bestFit="1" customWidth="1"/>
    <col min="2" max="2" width="18.7109375" bestFit="1" customWidth="1"/>
    <col min="3" max="3" width="20.140625" bestFit="1" customWidth="1"/>
    <col min="4" max="4" width="14" bestFit="1" customWidth="1"/>
    <col min="5" max="5" width="18.140625" bestFit="1" customWidth="1"/>
    <col min="9" max="9" width="13.7109375" bestFit="1" customWidth="1"/>
    <col min="11" max="11" width="15" bestFit="1" customWidth="1"/>
  </cols>
  <sheetData>
    <row r="1" spans="1:11">
      <c r="A1" s="24" t="s">
        <v>43</v>
      </c>
      <c r="B1" s="10">
        <v>512</v>
      </c>
      <c r="C1" t="s">
        <v>44</v>
      </c>
      <c r="D1" t="s">
        <v>34</v>
      </c>
      <c r="H1" s="15" t="s">
        <v>5</v>
      </c>
      <c r="I1" s="16" t="s">
        <v>5</v>
      </c>
      <c r="J1" s="16" t="s">
        <v>5</v>
      </c>
      <c r="K1" s="16" t="s">
        <v>5</v>
      </c>
    </row>
    <row r="2" spans="1:11">
      <c r="A2" s="24" t="s">
        <v>33</v>
      </c>
      <c r="B2" s="10">
        <v>8</v>
      </c>
      <c r="H2" s="16" t="s">
        <v>7</v>
      </c>
      <c r="I2" s="16" t="s">
        <v>7</v>
      </c>
      <c r="J2" s="16" t="s">
        <v>7</v>
      </c>
      <c r="K2" s="16" t="s">
        <v>7</v>
      </c>
    </row>
    <row r="3" spans="1:11">
      <c r="A3" s="24" t="s">
        <v>54</v>
      </c>
      <c r="B3" s="10" t="s">
        <v>4</v>
      </c>
      <c r="H3" s="16"/>
      <c r="I3" s="16"/>
      <c r="J3" s="16"/>
      <c r="K3" s="16"/>
    </row>
    <row r="4" spans="1:11">
      <c r="A4" s="24" t="s">
        <v>55</v>
      </c>
      <c r="B4" s="10" t="s">
        <v>6</v>
      </c>
      <c r="C4" t="s">
        <v>57</v>
      </c>
      <c r="D4" s="10">
        <v>1</v>
      </c>
      <c r="H4" s="16"/>
      <c r="I4" s="16"/>
      <c r="J4" s="16"/>
      <c r="K4" s="16"/>
    </row>
    <row r="5" spans="1:11">
      <c r="A5" s="24" t="s">
        <v>56</v>
      </c>
      <c r="B5" s="10" t="s">
        <v>6</v>
      </c>
      <c r="H5" s="16"/>
      <c r="I5" s="16"/>
      <c r="J5" s="16"/>
      <c r="K5" s="16"/>
    </row>
    <row r="6" spans="1:11">
      <c r="A6" s="12" t="s">
        <v>0</v>
      </c>
      <c r="B6" s="12" t="s">
        <v>12</v>
      </c>
      <c r="C6" s="12" t="s">
        <v>16</v>
      </c>
      <c r="D6" s="12" t="s">
        <v>1</v>
      </c>
      <c r="E6" s="12" t="s">
        <v>40</v>
      </c>
      <c r="F6" s="12" t="s">
        <v>32</v>
      </c>
      <c r="G6" s="12" t="s">
        <v>52</v>
      </c>
      <c r="H6" s="12" t="s">
        <v>3</v>
      </c>
      <c r="I6" s="12" t="s">
        <v>9</v>
      </c>
      <c r="J6" s="12" t="s">
        <v>10</v>
      </c>
      <c r="K6" s="12" t="s">
        <v>35</v>
      </c>
    </row>
    <row r="7" spans="1:11" s="1" customFormat="1">
      <c r="A7" s="2" t="s">
        <v>8</v>
      </c>
      <c r="B7" s="2" t="s">
        <v>13</v>
      </c>
      <c r="C7" s="2" t="s">
        <v>17</v>
      </c>
      <c r="D7" s="2" t="s">
        <v>8</v>
      </c>
      <c r="E7" s="7" t="str">
        <f>D1</f>
        <v>C000000</v>
      </c>
      <c r="F7" s="5">
        <v>96</v>
      </c>
      <c r="G7" s="23" t="str">
        <f>DEC2HEX(F7*1024)</f>
        <v>18000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>
      <c r="A8" s="3" t="s">
        <v>11</v>
      </c>
      <c r="B8" s="3" t="s">
        <v>14</v>
      </c>
      <c r="C8" s="3" t="s">
        <v>17</v>
      </c>
      <c r="D8" s="3" t="s">
        <v>30</v>
      </c>
      <c r="E8" s="8" t="str">
        <f>DEC2HEX(HEX2DEC(E7)+F7*1024)</f>
        <v>C018000</v>
      </c>
      <c r="F8" s="4">
        <f>IF(UPPER(H8)="YES", 8*$B$2, 0)</f>
        <v>0</v>
      </c>
      <c r="G8" s="23" t="str">
        <f t="shared" ref="G8:G15" si="0">DEC2HEX(F8*1024)</f>
        <v>0</v>
      </c>
      <c r="H8" s="4" t="str">
        <f>$B$5</f>
        <v>No</v>
      </c>
      <c r="I8" s="4" t="s">
        <v>4</v>
      </c>
      <c r="J8" s="4" t="s">
        <v>4</v>
      </c>
      <c r="K8" s="4" t="s">
        <v>6</v>
      </c>
    </row>
    <row r="9" spans="1:11">
      <c r="A9" s="3" t="s">
        <v>48</v>
      </c>
      <c r="B9" s="3" t="s">
        <v>15</v>
      </c>
      <c r="C9" s="3" t="s">
        <v>18</v>
      </c>
      <c r="D9" s="17" t="s">
        <v>46</v>
      </c>
      <c r="E9" s="8" t="str">
        <f>DEC2HEX(HEX2DEC(E8)+F8*1024)</f>
        <v>C018000</v>
      </c>
      <c r="F9" s="4">
        <f>IF(UPPER(H9)="YES", D4*$B$2, 0)</f>
        <v>0</v>
      </c>
      <c r="G9" s="23" t="str">
        <f t="shared" si="0"/>
        <v>0</v>
      </c>
      <c r="H9" s="4" t="str">
        <f>$B$4</f>
        <v>No</v>
      </c>
      <c r="I9" s="4" t="s">
        <v>6</v>
      </c>
      <c r="J9" s="4" t="s">
        <v>4</v>
      </c>
      <c r="K9" s="4" t="s">
        <v>4</v>
      </c>
    </row>
    <row r="10" spans="1:11" s="1" customFormat="1">
      <c r="A10" s="2" t="s">
        <v>49</v>
      </c>
      <c r="B10" s="2" t="s">
        <v>23</v>
      </c>
      <c r="C10" s="2" t="s">
        <v>18</v>
      </c>
      <c r="D10" s="18" t="s">
        <v>19</v>
      </c>
      <c r="E10" s="9" t="str">
        <f>DEC2HEX(HEX2DEC(E9)+F9*1024)</f>
        <v>C018000</v>
      </c>
      <c r="F10" s="5">
        <f>ROUNDDOWN((B1-F7-F8-F9-F15-F14-F13-F12)/16,0)*IF(H11="Yes",8,16)</f>
        <v>168</v>
      </c>
      <c r="G10" s="23" t="str">
        <f t="shared" si="0"/>
        <v>2A000</v>
      </c>
      <c r="H10" s="5" t="s">
        <v>5</v>
      </c>
      <c r="I10" s="5" t="s">
        <v>6</v>
      </c>
      <c r="J10" s="5" t="s">
        <v>4</v>
      </c>
      <c r="K10" s="5" t="s">
        <v>6</v>
      </c>
    </row>
    <row r="11" spans="1:11" s="1" customFormat="1">
      <c r="A11" s="2" t="s">
        <v>51</v>
      </c>
      <c r="B11" s="2" t="s">
        <v>22</v>
      </c>
      <c r="C11" s="2" t="s">
        <v>21</v>
      </c>
      <c r="D11" s="20" t="s">
        <v>47</v>
      </c>
      <c r="E11" s="9" t="str">
        <f>DEC2HEX(HEX2DEC(E10)+F10*1024)</f>
        <v>C042000</v>
      </c>
      <c r="F11" s="5">
        <f>IF(H11="Yes",F10,0)</f>
        <v>168</v>
      </c>
      <c r="G11" s="23" t="str">
        <f t="shared" si="0"/>
        <v>2A000</v>
      </c>
      <c r="H11" s="5" t="str">
        <f>B3</f>
        <v>Yes</v>
      </c>
      <c r="I11" s="5" t="s">
        <v>6</v>
      </c>
      <c r="J11" s="5" t="s">
        <v>4</v>
      </c>
      <c r="K11" s="5" t="s">
        <v>6</v>
      </c>
    </row>
    <row r="12" spans="1:11">
      <c r="A12" s="3" t="s">
        <v>50</v>
      </c>
      <c r="B12" s="3" t="s">
        <v>20</v>
      </c>
      <c r="C12" s="3" t="s">
        <v>21</v>
      </c>
      <c r="D12" s="19" t="s">
        <v>53</v>
      </c>
      <c r="E12" s="8" t="str">
        <f>DEC2HEX(HEX2DEC(E11)+F11*1024)</f>
        <v>C06C000</v>
      </c>
      <c r="F12" s="4">
        <f>IF(UPPER(H12)="YES", D4*$F$9, 0)</f>
        <v>0</v>
      </c>
      <c r="G12" s="23" t="str">
        <f>DEC2HEX(F12*1024)</f>
        <v>0</v>
      </c>
      <c r="H12" s="4" t="str">
        <f>IF(UPPER($B$3)="YES", H9, B4)</f>
        <v>No</v>
      </c>
      <c r="I12" s="4" t="s">
        <v>6</v>
      </c>
      <c r="J12" s="4" t="s">
        <v>4</v>
      </c>
      <c r="K12" s="4" t="s">
        <v>6</v>
      </c>
    </row>
    <row r="13" spans="1:11">
      <c r="A13" s="3" t="s">
        <v>24</v>
      </c>
      <c r="B13" s="3" t="s">
        <v>27</v>
      </c>
      <c r="C13" s="3" t="s">
        <v>7</v>
      </c>
      <c r="D13" s="3" t="s">
        <v>17</v>
      </c>
      <c r="E13" s="8" t="str">
        <f>DEC2HEX(HEX2DEC(E14)-F13*1024)</f>
        <v>C06E000</v>
      </c>
      <c r="F13" s="4">
        <f>IF(UPPER(H13)="YES", 2*$B$2, 0)</f>
        <v>16</v>
      </c>
      <c r="G13" s="23" t="str">
        <f t="shared" si="0"/>
        <v>4000</v>
      </c>
      <c r="H13" s="4" t="s">
        <v>4</v>
      </c>
      <c r="I13" s="4" t="s">
        <v>6</v>
      </c>
      <c r="J13" s="4" t="s">
        <v>4</v>
      </c>
      <c r="K13" s="4" t="s">
        <v>6</v>
      </c>
    </row>
    <row r="14" spans="1:11" s="1" customFormat="1">
      <c r="A14" s="2" t="s">
        <v>26</v>
      </c>
      <c r="B14" s="2" t="s">
        <v>28</v>
      </c>
      <c r="C14" s="2" t="s">
        <v>7</v>
      </c>
      <c r="D14" s="2" t="s">
        <v>31</v>
      </c>
      <c r="E14" s="9" t="str">
        <f>DEC2HEX(HEX2DEC(E15)-F14*1024)</f>
        <v>C072000</v>
      </c>
      <c r="F14" s="5">
        <v>48</v>
      </c>
      <c r="G14" s="23" t="str">
        <f t="shared" si="0"/>
        <v>C000</v>
      </c>
      <c r="H14" s="5" t="s">
        <v>4</v>
      </c>
      <c r="I14" s="5" t="s">
        <v>6</v>
      </c>
      <c r="J14" s="5" t="s">
        <v>4</v>
      </c>
      <c r="K14" s="5" t="s">
        <v>6</v>
      </c>
    </row>
    <row r="15" spans="1:11" s="1" customFormat="1">
      <c r="A15" s="2" t="s">
        <v>25</v>
      </c>
      <c r="B15" s="2" t="s">
        <v>29</v>
      </c>
      <c r="C15" s="2" t="s">
        <v>7</v>
      </c>
      <c r="D15" s="2" t="s">
        <v>25</v>
      </c>
      <c r="E15" s="9" t="str">
        <f>DEC2HEX((B1-F15)*1024 + HEX2DEC(D1))</f>
        <v>C07E000</v>
      </c>
      <c r="F15" s="5">
        <f>1*B2</f>
        <v>8</v>
      </c>
      <c r="G15" s="23" t="str">
        <f t="shared" si="0"/>
        <v>2000</v>
      </c>
      <c r="H15" s="5" t="s">
        <v>4</v>
      </c>
      <c r="I15" s="5" t="s">
        <v>6</v>
      </c>
      <c r="J15" s="5" t="s">
        <v>4</v>
      </c>
      <c r="K15" s="5" t="s">
        <v>6</v>
      </c>
    </row>
    <row r="16" spans="1:11">
      <c r="E16" s="26" t="s">
        <v>58</v>
      </c>
      <c r="F16" s="25">
        <f>SUM(F7:F15)</f>
        <v>504</v>
      </c>
    </row>
    <row r="18" spans="1:7">
      <c r="A18" s="12" t="s">
        <v>36</v>
      </c>
      <c r="B18" s="12" t="s">
        <v>2</v>
      </c>
      <c r="C18" s="12" t="s">
        <v>41</v>
      </c>
      <c r="D18" s="12" t="s">
        <v>45</v>
      </c>
      <c r="E18" s="12" t="s">
        <v>42</v>
      </c>
      <c r="F18" s="12" t="s">
        <v>32</v>
      </c>
      <c r="G18" s="21"/>
    </row>
    <row r="19" spans="1:7">
      <c r="A19" s="2" t="s">
        <v>37</v>
      </c>
      <c r="B19" s="6" t="str">
        <f>E10</f>
        <v>C018000</v>
      </c>
      <c r="C19" s="13" t="str">
        <f>DEC2HEX(HEX2DEC(B19)+HEX2DEC(D19)-1)</f>
        <v>C0183FF</v>
      </c>
      <c r="D19" s="14">
        <v>400</v>
      </c>
      <c r="E19" s="14">
        <f>HEX2DEC(D19)/$B$2/1024</f>
        <v>0.125</v>
      </c>
      <c r="F19" s="4">
        <f>HEX2DEC(D19)/1024</f>
        <v>1</v>
      </c>
      <c r="G19" s="22"/>
    </row>
    <row r="20" spans="1:7">
      <c r="A20" s="2" t="s">
        <v>38</v>
      </c>
      <c r="B20" s="11" t="str">
        <f>DEC2HEX(HEX2DEC(B19)+HEX2DEC(D19))</f>
        <v>C018400</v>
      </c>
      <c r="C20" s="13" t="str">
        <f>DEC2HEX(HEX2DEC(B20)+HEX2DEC(D20)-1)</f>
        <v>C041BFF</v>
      </c>
      <c r="D20" s="14" t="str">
        <f>DEC2HEX((F10)*1024-HEX2DEC(D19)-HEX2DEC(D21))</f>
        <v>29800</v>
      </c>
      <c r="E20" s="14">
        <f t="shared" ref="E20:E21" si="1">HEX2DEC(D20)/$B$2/1024</f>
        <v>20.75</v>
      </c>
      <c r="F20" s="4">
        <f t="shared" ref="F20:F21" si="2">HEX2DEC(D20)/1024</f>
        <v>166</v>
      </c>
      <c r="G20" s="22"/>
    </row>
    <row r="21" spans="1:7">
      <c r="A21" s="2" t="s">
        <v>39</v>
      </c>
      <c r="B21" s="11" t="str">
        <f>DEC2HEX((HEX2DEC(B19)+F10*1024)-HEX2DEC(D21))</f>
        <v>C041C00</v>
      </c>
      <c r="C21" s="13" t="str">
        <f>DEC2HEX(HEX2DEC(B21)+HEX2DEC(D21)-1)</f>
        <v>C041FFF</v>
      </c>
      <c r="D21" s="14">
        <v>400</v>
      </c>
      <c r="E21" s="14">
        <f t="shared" si="1"/>
        <v>0.125</v>
      </c>
      <c r="F21" s="4">
        <f t="shared" si="2"/>
        <v>1</v>
      </c>
      <c r="G21" s="22"/>
    </row>
  </sheetData>
  <conditionalFormatting sqref="B3:B5">
    <cfRule type="cellIs" dxfId="9" priority="1" operator="equal">
      <formula>"No"</formula>
    </cfRule>
    <cfRule type="cellIs" dxfId="8" priority="2" operator="equal">
      <formula>"Yes"</formula>
    </cfRule>
  </conditionalFormatting>
  <conditionalFormatting sqref="H7:K15">
    <cfRule type="cellIs" dxfId="7" priority="3" operator="equal">
      <formula>"Yes"</formula>
    </cfRule>
  </conditionalFormatting>
  <dataValidations count="8">
    <dataValidation type="list" allowBlank="1" showInputMessage="1" showErrorMessage="1" sqref="I7:K10 H11:K15 H8" xr:uid="{71462FC0-FF1C-4A72-B524-752C3DBCC95C}">
      <formula1>$I$1:$I$2</formula1>
    </dataValidation>
    <dataValidation type="whole" operator="equal" allowBlank="1" showInputMessage="1" showErrorMessage="1" sqref="F7" xr:uid="{1CB1F42B-62C7-4A01-B6E6-92B9DEA63B1C}">
      <formula1>96</formula1>
    </dataValidation>
    <dataValidation type="list" allowBlank="1" showInputMessage="1" showErrorMessage="1" sqref="H7 H10" xr:uid="{24EB08C0-24DB-4CE7-A0B2-354EE95104C8}">
      <formula1>$I$1</formula1>
    </dataValidation>
    <dataValidation type="whole" operator="lessThan" allowBlank="1" showInputMessage="1" showErrorMessage="1" sqref="C20" xr:uid="{8F42C9B6-09F1-4FD9-8BD4-9A816691AE23}">
      <formula1>B21</formula1>
    </dataValidation>
    <dataValidation type="whole" allowBlank="1" showInputMessage="1" showErrorMessage="1" sqref="F8:F15" xr:uid="{9A4F1DA6-90CF-49D1-A1FA-CCCDBD00F75F}">
      <formula1>0</formula1>
      <formula2>512</formula2>
    </dataValidation>
    <dataValidation type="list" allowBlank="1" showInputMessage="1" showErrorMessage="1" sqref="B3:B5" xr:uid="{C11A97BF-5436-4667-8437-D163CD315703}">
      <formula1>$H$1:$H$2</formula1>
    </dataValidation>
    <dataValidation type="list" allowBlank="1" showInputMessage="1" showErrorMessage="1" sqref="H9" xr:uid="{E279EABA-38C9-4B35-867D-BF877D72997D}">
      <formula1>$B$4</formula1>
    </dataValidation>
    <dataValidation type="whole" operator="lessThanOrEqual" allowBlank="1" showInputMessage="1" showErrorMessage="1" sqref="E12:E13" xr:uid="{D4B42958-159F-4CF2-A83D-130C225DE8FE}">
      <formula1>E13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673D-D5D7-48B6-A1D3-2697C5BD9CDD}">
  <dimension ref="A1:K21"/>
  <sheetViews>
    <sheetView tabSelected="1" zoomScale="130" zoomScaleNormal="130" workbookViewId="0">
      <selection activeCell="I17" sqref="I17"/>
    </sheetView>
  </sheetViews>
  <sheetFormatPr defaultRowHeight="15"/>
  <cols>
    <col min="1" max="1" width="15.42578125" bestFit="1" customWidth="1"/>
    <col min="2" max="2" width="18.7109375" bestFit="1" customWidth="1"/>
    <col min="3" max="3" width="20.140625" bestFit="1" customWidth="1"/>
    <col min="4" max="4" width="14" bestFit="1" customWidth="1"/>
    <col min="5" max="5" width="18.140625" bestFit="1" customWidth="1"/>
    <col min="9" max="9" width="13.7109375" bestFit="1" customWidth="1"/>
    <col min="11" max="11" width="15" bestFit="1" customWidth="1"/>
  </cols>
  <sheetData>
    <row r="1" spans="1:11">
      <c r="A1" s="24" t="s">
        <v>43</v>
      </c>
      <c r="B1" s="10">
        <v>2048</v>
      </c>
      <c r="C1" t="s">
        <v>44</v>
      </c>
      <c r="D1" t="s">
        <v>34</v>
      </c>
      <c r="H1" s="15" t="s">
        <v>5</v>
      </c>
      <c r="I1" s="16" t="s">
        <v>5</v>
      </c>
      <c r="J1" s="16" t="s">
        <v>5</v>
      </c>
      <c r="K1" s="16" t="s">
        <v>5</v>
      </c>
    </row>
    <row r="2" spans="1:11">
      <c r="A2" s="24" t="s">
        <v>33</v>
      </c>
      <c r="B2" s="10">
        <v>8</v>
      </c>
      <c r="H2" s="16" t="s">
        <v>7</v>
      </c>
      <c r="I2" s="16" t="s">
        <v>7</v>
      </c>
      <c r="J2" s="16" t="s">
        <v>7</v>
      </c>
      <c r="K2" s="16" t="s">
        <v>7</v>
      </c>
    </row>
    <row r="3" spans="1:11">
      <c r="A3" s="24" t="s">
        <v>54</v>
      </c>
      <c r="B3" s="10" t="s">
        <v>6</v>
      </c>
      <c r="H3" s="16"/>
      <c r="I3" s="16"/>
      <c r="J3" s="16"/>
      <c r="K3" s="16"/>
    </row>
    <row r="4" spans="1:11">
      <c r="A4" s="24" t="s">
        <v>55</v>
      </c>
      <c r="B4" s="10" t="s">
        <v>6</v>
      </c>
      <c r="C4" t="s">
        <v>57</v>
      </c>
      <c r="D4" s="10">
        <v>1</v>
      </c>
      <c r="H4" s="16"/>
      <c r="I4" s="16"/>
      <c r="J4" s="16"/>
      <c r="K4" s="16"/>
    </row>
    <row r="5" spans="1:11">
      <c r="A5" s="24" t="s">
        <v>56</v>
      </c>
      <c r="B5" s="10" t="s">
        <v>6</v>
      </c>
      <c r="H5" s="16"/>
      <c r="I5" s="16"/>
      <c r="J5" s="16"/>
      <c r="K5" s="16"/>
    </row>
    <row r="6" spans="1:11">
      <c r="A6" s="12" t="s">
        <v>0</v>
      </c>
      <c r="B6" s="12" t="s">
        <v>12</v>
      </c>
      <c r="C6" s="12" t="s">
        <v>16</v>
      </c>
      <c r="D6" s="12" t="s">
        <v>1</v>
      </c>
      <c r="E6" s="12" t="s">
        <v>40</v>
      </c>
      <c r="F6" s="12" t="s">
        <v>32</v>
      </c>
      <c r="G6" s="12" t="s">
        <v>52</v>
      </c>
      <c r="H6" s="12" t="s">
        <v>3</v>
      </c>
      <c r="I6" s="12" t="s">
        <v>9</v>
      </c>
      <c r="J6" s="12" t="s">
        <v>10</v>
      </c>
      <c r="K6" s="12" t="s">
        <v>35</v>
      </c>
    </row>
    <row r="7" spans="1:11" s="1" customFormat="1">
      <c r="A7" s="2" t="s">
        <v>8</v>
      </c>
      <c r="B7" s="2" t="s">
        <v>13</v>
      </c>
      <c r="C7" s="2" t="s">
        <v>17</v>
      </c>
      <c r="D7" s="2" t="s">
        <v>8</v>
      </c>
      <c r="E7" s="7" t="str">
        <f>D1</f>
        <v>C000000</v>
      </c>
      <c r="F7" s="5">
        <v>96</v>
      </c>
      <c r="G7" s="23" t="str">
        <f>DEC2HEX(F7*1024)</f>
        <v>18000</v>
      </c>
      <c r="H7" s="5" t="s">
        <v>4</v>
      </c>
      <c r="I7" s="5" t="s">
        <v>4</v>
      </c>
      <c r="J7" s="5" t="s">
        <v>4</v>
      </c>
      <c r="K7" s="5" t="s">
        <v>4</v>
      </c>
    </row>
    <row r="8" spans="1:11">
      <c r="A8" s="3" t="s">
        <v>11</v>
      </c>
      <c r="B8" s="3" t="s">
        <v>14</v>
      </c>
      <c r="C8" s="3" t="s">
        <v>17</v>
      </c>
      <c r="D8" s="3" t="s">
        <v>30</v>
      </c>
      <c r="E8" s="8" t="str">
        <f>DEC2HEX(HEX2DEC(E7)+F7*1024)</f>
        <v>C018000</v>
      </c>
      <c r="F8" s="4">
        <f>IF(UPPER(H8)="YES", 8*$B$2, 0)</f>
        <v>0</v>
      </c>
      <c r="G8" s="23" t="str">
        <f t="shared" ref="G8:G15" si="0">DEC2HEX(F8*1024)</f>
        <v>0</v>
      </c>
      <c r="H8" s="4" t="str">
        <f>$B$5</f>
        <v>No</v>
      </c>
      <c r="I8" s="4" t="s">
        <v>4</v>
      </c>
      <c r="J8" s="4" t="s">
        <v>4</v>
      </c>
      <c r="K8" s="4" t="s">
        <v>6</v>
      </c>
    </row>
    <row r="9" spans="1:11">
      <c r="A9" s="3" t="s">
        <v>48</v>
      </c>
      <c r="B9" s="3" t="s">
        <v>15</v>
      </c>
      <c r="C9" s="3" t="s">
        <v>18</v>
      </c>
      <c r="D9" s="17" t="s">
        <v>46</v>
      </c>
      <c r="E9" s="8" t="str">
        <f>DEC2HEX(HEX2DEC(E8)+F8*1024)</f>
        <v>C018000</v>
      </c>
      <c r="F9" s="4">
        <f>IF(UPPER(H9)="YES", D4*$B$2, 0)</f>
        <v>0</v>
      </c>
      <c r="G9" s="23" t="str">
        <f t="shared" si="0"/>
        <v>0</v>
      </c>
      <c r="H9" s="4" t="str">
        <f>$B$4</f>
        <v>No</v>
      </c>
      <c r="I9" s="4" t="s">
        <v>6</v>
      </c>
      <c r="J9" s="4" t="s">
        <v>4</v>
      </c>
      <c r="K9" s="4" t="s">
        <v>4</v>
      </c>
    </row>
    <row r="10" spans="1:11" s="1" customFormat="1">
      <c r="A10" s="2" t="s">
        <v>49</v>
      </c>
      <c r="B10" s="2" t="s">
        <v>23</v>
      </c>
      <c r="C10" s="2" t="s">
        <v>18</v>
      </c>
      <c r="D10" s="18" t="s">
        <v>19</v>
      </c>
      <c r="E10" s="9" t="str">
        <f>DEC2HEX(HEX2DEC(E9)+F9*1024)</f>
        <v>C018000</v>
      </c>
      <c r="F10" s="5">
        <f>ROUNDDOWN((B1-F7-F8-F9-F15-F14-F13-F12)/16,0)*IF(H11="Yes",8,16)</f>
        <v>1888</v>
      </c>
      <c r="G10" s="23" t="str">
        <f t="shared" si="0"/>
        <v>1D8000</v>
      </c>
      <c r="H10" s="5" t="s">
        <v>5</v>
      </c>
      <c r="I10" s="5" t="s">
        <v>6</v>
      </c>
      <c r="J10" s="5" t="s">
        <v>4</v>
      </c>
      <c r="K10" s="5" t="s">
        <v>6</v>
      </c>
    </row>
    <row r="11" spans="1:11" s="1" customFormat="1">
      <c r="A11" s="2" t="s">
        <v>51</v>
      </c>
      <c r="B11" s="2" t="s">
        <v>22</v>
      </c>
      <c r="C11" s="2" t="s">
        <v>21</v>
      </c>
      <c r="D11" s="20" t="s">
        <v>47</v>
      </c>
      <c r="E11" s="9" t="str">
        <f>DEC2HEX(HEX2DEC(E10)+F10*1024)</f>
        <v>C1F0000</v>
      </c>
      <c r="F11" s="5">
        <f>IF(H11="Yes",F10,0)</f>
        <v>0</v>
      </c>
      <c r="G11" s="23" t="str">
        <f t="shared" si="0"/>
        <v>0</v>
      </c>
      <c r="H11" s="5" t="str">
        <f>B3</f>
        <v>No</v>
      </c>
      <c r="I11" s="5" t="s">
        <v>6</v>
      </c>
      <c r="J11" s="5" t="s">
        <v>4</v>
      </c>
      <c r="K11" s="5" t="s">
        <v>6</v>
      </c>
    </row>
    <row r="12" spans="1:11">
      <c r="A12" s="3" t="s">
        <v>50</v>
      </c>
      <c r="B12" s="3" t="s">
        <v>20</v>
      </c>
      <c r="C12" s="3" t="s">
        <v>21</v>
      </c>
      <c r="D12" s="19" t="s">
        <v>53</v>
      </c>
      <c r="E12" s="8" t="str">
        <f>DEC2HEX(HEX2DEC(E11)+F11*1024)</f>
        <v>C1F0000</v>
      </c>
      <c r="F12" s="4">
        <f>IF(UPPER(H12)="YES", D4*$F$9, 0)</f>
        <v>0</v>
      </c>
      <c r="G12" s="23" t="str">
        <f>DEC2HEX(F12*1024)</f>
        <v>0</v>
      </c>
      <c r="H12" s="4" t="str">
        <f>IF(UPPER($B$3)="YES", H9, B4)</f>
        <v>No</v>
      </c>
      <c r="I12" s="4" t="s">
        <v>6</v>
      </c>
      <c r="J12" s="4" t="s">
        <v>4</v>
      </c>
      <c r="K12" s="4" t="s">
        <v>6</v>
      </c>
    </row>
    <row r="13" spans="1:11">
      <c r="A13" s="3" t="s">
        <v>24</v>
      </c>
      <c r="B13" s="3" t="s">
        <v>27</v>
      </c>
      <c r="C13" s="3" t="s">
        <v>7</v>
      </c>
      <c r="D13" s="3" t="s">
        <v>17</v>
      </c>
      <c r="E13" s="8" t="str">
        <f>DEC2HEX(HEX2DEC(E14)-F13*1024)</f>
        <v>C1F0000</v>
      </c>
      <c r="F13" s="4">
        <f>IF(UPPER(H13)="YES", 2*$B$2, 0)</f>
        <v>16</v>
      </c>
      <c r="G13" s="23" t="str">
        <f t="shared" si="0"/>
        <v>4000</v>
      </c>
      <c r="H13" s="4" t="s">
        <v>4</v>
      </c>
      <c r="I13" s="4" t="s">
        <v>6</v>
      </c>
      <c r="J13" s="4" t="s">
        <v>4</v>
      </c>
      <c r="K13" s="4" t="s">
        <v>6</v>
      </c>
    </row>
    <row r="14" spans="1:11" s="1" customFormat="1">
      <c r="A14" s="2" t="s">
        <v>26</v>
      </c>
      <c r="B14" s="2" t="s">
        <v>28</v>
      </c>
      <c r="C14" s="2" t="s">
        <v>7</v>
      </c>
      <c r="D14" s="2" t="s">
        <v>31</v>
      </c>
      <c r="E14" s="9" t="str">
        <f>DEC2HEX(HEX2DEC(E15)-F14*1024)</f>
        <v>C1F4000</v>
      </c>
      <c r="F14" s="5">
        <v>48</v>
      </c>
      <c r="G14" s="23" t="str">
        <f t="shared" si="0"/>
        <v>C000</v>
      </c>
      <c r="H14" s="5" t="s">
        <v>4</v>
      </c>
      <c r="I14" s="5" t="s">
        <v>6</v>
      </c>
      <c r="J14" s="5" t="s">
        <v>4</v>
      </c>
      <c r="K14" s="5" t="s">
        <v>6</v>
      </c>
    </row>
    <row r="15" spans="1:11" s="1" customFormat="1">
      <c r="A15" s="2" t="s">
        <v>25</v>
      </c>
      <c r="B15" s="2" t="s">
        <v>29</v>
      </c>
      <c r="C15" s="2" t="s">
        <v>7</v>
      </c>
      <c r="D15" s="2" t="s">
        <v>25</v>
      </c>
      <c r="E15" s="9" t="str">
        <f>DEC2HEX((B1-F15)*1024 + HEX2DEC(D1))</f>
        <v>C200000</v>
      </c>
      <c r="F15" s="5">
        <f>IF(H15="Yes",1*B2,0)</f>
        <v>0</v>
      </c>
      <c r="G15" s="23" t="str">
        <f t="shared" si="0"/>
        <v>0</v>
      </c>
      <c r="H15" s="5" t="s">
        <v>6</v>
      </c>
      <c r="I15" s="5" t="s">
        <v>6</v>
      </c>
      <c r="J15" s="5" t="s">
        <v>4</v>
      </c>
      <c r="K15" s="5" t="s">
        <v>6</v>
      </c>
    </row>
    <row r="16" spans="1:11">
      <c r="E16" s="26" t="s">
        <v>58</v>
      </c>
      <c r="F16" s="25">
        <f>SUM(F7:F15)</f>
        <v>2048</v>
      </c>
    </row>
    <row r="18" spans="1:7">
      <c r="A18" s="12" t="s">
        <v>36</v>
      </c>
      <c r="B18" s="12" t="s">
        <v>2</v>
      </c>
      <c r="C18" s="12" t="s">
        <v>41</v>
      </c>
      <c r="D18" s="12" t="s">
        <v>45</v>
      </c>
      <c r="E18" s="12" t="s">
        <v>42</v>
      </c>
      <c r="F18" s="12" t="s">
        <v>32</v>
      </c>
      <c r="G18" s="21"/>
    </row>
    <row r="19" spans="1:7">
      <c r="A19" s="2" t="s">
        <v>37</v>
      </c>
      <c r="B19" s="6" t="str">
        <f>E10</f>
        <v>C018000</v>
      </c>
      <c r="C19" s="13" t="str">
        <f>DEC2HEX(HEX2DEC(B19)+HEX2DEC(D19)-1)</f>
        <v>C0183FF</v>
      </c>
      <c r="D19" s="14">
        <v>400</v>
      </c>
      <c r="E19" s="14">
        <f>HEX2DEC(D19)/$B$2/1024</f>
        <v>0.125</v>
      </c>
      <c r="F19" s="4">
        <f>HEX2DEC(D19)/1024</f>
        <v>1</v>
      </c>
      <c r="G19" s="22"/>
    </row>
    <row r="20" spans="1:7">
      <c r="A20" s="2" t="s">
        <v>38</v>
      </c>
      <c r="B20" s="11" t="str">
        <f>DEC2HEX(HEX2DEC(B19)+HEX2DEC(D19))</f>
        <v>C018400</v>
      </c>
      <c r="C20" s="13" t="str">
        <f>DEC2HEX(HEX2DEC(B20)+HEX2DEC(D20)-1)</f>
        <v>C1EFBFF</v>
      </c>
      <c r="D20" s="14" t="str">
        <f>DEC2HEX((F10)*1024-HEX2DEC(D19)-HEX2DEC(D21))</f>
        <v>1D7800</v>
      </c>
      <c r="E20" s="14">
        <f t="shared" ref="E20:E21" si="1">HEX2DEC(D20)/$B$2/1024</f>
        <v>235.75</v>
      </c>
      <c r="F20" s="4">
        <f t="shared" ref="F20:F21" si="2">HEX2DEC(D20)/1024</f>
        <v>1886</v>
      </c>
      <c r="G20" s="22"/>
    </row>
    <row r="21" spans="1:7">
      <c r="A21" s="2" t="s">
        <v>39</v>
      </c>
      <c r="B21" s="11" t="str">
        <f>DEC2HEX((HEX2DEC(B19)+F10*1024)-HEX2DEC(D21))</f>
        <v>C1EFC00</v>
      </c>
      <c r="C21" s="13" t="str">
        <f>DEC2HEX(HEX2DEC(B21)+HEX2DEC(D21)-1)</f>
        <v>C1EFFFF</v>
      </c>
      <c r="D21" s="14">
        <v>400</v>
      </c>
      <c r="E21" s="14">
        <f t="shared" si="1"/>
        <v>0.125</v>
      </c>
      <c r="F21" s="4">
        <f t="shared" si="2"/>
        <v>1</v>
      </c>
      <c r="G21" s="22"/>
    </row>
  </sheetData>
  <conditionalFormatting sqref="B3:B5">
    <cfRule type="cellIs" dxfId="6" priority="2" operator="equal">
      <formula>"No"</formula>
    </cfRule>
    <cfRule type="cellIs" dxfId="5" priority="3" operator="equal">
      <formula>"Yes"</formula>
    </cfRule>
  </conditionalFormatting>
  <conditionalFormatting sqref="H7:K15">
    <cfRule type="cellIs" dxfId="4" priority="4" operator="equal">
      <formula>"Yes"</formula>
    </cfRule>
  </conditionalFormatting>
  <conditionalFormatting sqref="H7:H15">
    <cfRule type="cellIs" dxfId="0" priority="1" operator="equal">
      <formula>"No"</formula>
    </cfRule>
  </conditionalFormatting>
  <dataValidations count="8">
    <dataValidation type="whole" operator="lessThanOrEqual" allowBlank="1" showInputMessage="1" showErrorMessage="1" sqref="E12:E13" xr:uid="{1E7D5FCD-EAE1-439B-B5C0-AFAE8C2DC84A}">
      <formula1>E13</formula1>
    </dataValidation>
    <dataValidation type="list" allowBlank="1" showInputMessage="1" showErrorMessage="1" sqref="H9" xr:uid="{BBF7D66F-5CE7-4792-B124-E95288622718}">
      <formula1>$B$4</formula1>
    </dataValidation>
    <dataValidation type="list" allowBlank="1" showInputMessage="1" showErrorMessage="1" sqref="B3:B5" xr:uid="{8CE84D1A-343E-4C47-AA91-42473B0200F5}">
      <formula1>$H$1:$H$2</formula1>
    </dataValidation>
    <dataValidation type="whole" allowBlank="1" showInputMessage="1" showErrorMessage="1" sqref="F8:F15" xr:uid="{29FD8F96-B79F-4710-BB27-E4E24603A23B}">
      <formula1>0</formula1>
      <formula2>512</formula2>
    </dataValidation>
    <dataValidation type="whole" operator="lessThan" allowBlank="1" showInputMessage="1" showErrorMessage="1" sqref="C20" xr:uid="{8AFCBE6F-5E1B-43A9-9784-413A933B84BE}">
      <formula1>B21</formula1>
    </dataValidation>
    <dataValidation type="list" allowBlank="1" showInputMessage="1" showErrorMessage="1" sqref="H7 H10" xr:uid="{CAEE0B3C-20E7-4412-B85F-732B8A63E9E5}">
      <formula1>$I$1</formula1>
    </dataValidation>
    <dataValidation type="whole" operator="equal" allowBlank="1" showInputMessage="1" showErrorMessage="1" sqref="F7" xr:uid="{80C2949F-5D60-4B2B-8B6D-CD8B7A2552BC}">
      <formula1>96</formula1>
    </dataValidation>
    <dataValidation type="list" allowBlank="1" showInputMessage="1" showErrorMessage="1" sqref="I7:K10 H11:K15 H8" xr:uid="{BA070099-C40C-4C67-8D21-DF6C8567D0A8}">
      <formula1>$I$1:$I$2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OEMiROT + S only App (512KB)</vt:lpstr>
      <vt:lpstr>OEMiROT + S only App (2MB)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建瓯 乔</dc:creator>
  <cp:lastModifiedBy>Sunny CHEN</cp:lastModifiedBy>
  <dcterms:created xsi:type="dcterms:W3CDTF">2025-03-08T02:31:46Z</dcterms:created>
  <dcterms:modified xsi:type="dcterms:W3CDTF">2025-03-31T08:06:41Z</dcterms:modified>
</cp:coreProperties>
</file>