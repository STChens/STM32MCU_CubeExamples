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ns\STM32Cube\Repository\H5_V1.4.0\Projects\NUCLEO-H563ZI\Applications\ROT_S\"/>
    </mc:Choice>
  </mc:AlternateContent>
  <xr:revisionPtr revIDLastSave="0" documentId="13_ncr:1_{9A217BA5-F840-44CE-9EA7-FEC8A630BE8F}" xr6:coauthVersionLast="47" xr6:coauthVersionMax="47" xr10:uidLastSave="{00000000-0000-0000-0000-000000000000}"/>
  <bookViews>
    <workbookView xWindow="-120" yWindow="-120" windowWidth="29040" windowHeight="15720" xr2:uid="{EA4F91E5-2F2C-41F9-ADC4-50A0D48CACE5}"/>
  </bookViews>
  <sheets>
    <sheet name="OEMiROT + S only App" sheetId="1" r:id="rId1"/>
  </sheets>
  <definedNames>
    <definedName name="_xlnm._FilterDatabase" localSheetId="0" hidden="1">'OEMiROT + S only App'!$A$6:$J$15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H11" i="1"/>
  <c r="H8" i="1"/>
  <c r="F8" i="1" s="1"/>
  <c r="G8" i="1" s="1"/>
  <c r="H9" i="1"/>
  <c r="F9" i="1" s="1"/>
  <c r="F12" i="1" s="1"/>
  <c r="G14" i="1"/>
  <c r="G7" i="1"/>
  <c r="F13" i="1"/>
  <c r="G13" i="1" s="1"/>
  <c r="F20" i="1"/>
  <c r="F18" i="1"/>
  <c r="E20" i="1"/>
  <c r="E18" i="1"/>
  <c r="E7" i="1"/>
  <c r="E8" i="1" s="1"/>
  <c r="F15" i="1"/>
  <c r="E15" i="1" s="1"/>
  <c r="E14" i="1" s="1"/>
  <c r="F10" i="1" l="1"/>
  <c r="D19" i="1" s="1"/>
  <c r="G12" i="1"/>
  <c r="G9" i="1"/>
  <c r="G15" i="1"/>
  <c r="E13" i="1"/>
  <c r="E9" i="1"/>
  <c r="E10" i="1" s="1"/>
  <c r="E11" i="1" l="1"/>
  <c r="B18" i="1"/>
  <c r="G10" i="1" l="1"/>
  <c r="C18" i="1"/>
  <c r="B20" i="1"/>
  <c r="C20" i="1" s="1"/>
  <c r="B19" i="1"/>
  <c r="F11" i="1"/>
  <c r="G11" i="1" s="1"/>
  <c r="E12" i="1" l="1"/>
  <c r="E19" i="1"/>
  <c r="F19" i="1"/>
  <c r="C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tc={13EC26EC-1EA7-4491-A58E-BEDC1F333067}</author>
  </authors>
  <commentList>
    <comment ref="F6" authorId="0" shapeId="0" xr:uid="{13EC26EC-1EA7-4491-A58E-BEDC1F33306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align to 8KB page size</t>
      </text>
    </comment>
  </commentList>
</comments>
</file>

<file path=xl/sharedStrings.xml><?xml version="1.0" encoding="utf-8"?>
<sst xmlns="http://schemas.openxmlformats.org/spreadsheetml/2006/main" count="107" uniqueCount="58">
  <si>
    <t>Flash area</t>
    <phoneticPr fontId="3" type="noConversion"/>
  </si>
  <si>
    <t>Area ID</t>
    <phoneticPr fontId="3" type="noConversion"/>
  </si>
  <si>
    <t>Start Address</t>
    <phoneticPr fontId="3" type="noConversion"/>
  </si>
  <si>
    <t>Enable</t>
    <phoneticPr fontId="3" type="noConversion"/>
  </si>
  <si>
    <t>Yes</t>
  </si>
  <si>
    <t>Yes</t>
    <phoneticPr fontId="3" type="noConversion"/>
  </si>
  <si>
    <t>No</t>
  </si>
  <si>
    <t>No</t>
    <phoneticPr fontId="3" type="noConversion"/>
  </si>
  <si>
    <t>BL2</t>
    <phoneticPr fontId="3" type="noConversion"/>
  </si>
  <si>
    <t>HDP protected</t>
    <phoneticPr fontId="3" type="noConversion"/>
  </si>
  <si>
    <t>Secure</t>
    <phoneticPr fontId="3" type="noConversion"/>
  </si>
  <si>
    <t>Scratch</t>
    <phoneticPr fontId="3" type="noConversion"/>
  </si>
  <si>
    <t>Purpose</t>
    <phoneticPr fontId="3" type="noConversion"/>
  </si>
  <si>
    <t>Sec Boot</t>
    <phoneticPr fontId="3" type="noConversion"/>
  </si>
  <si>
    <t>Swap slot</t>
    <phoneticPr fontId="3" type="noConversion"/>
  </si>
  <si>
    <t>App static data</t>
    <phoneticPr fontId="3" type="noConversion"/>
  </si>
  <si>
    <t>Authenticated</t>
    <phoneticPr fontId="3" type="noConversion"/>
  </si>
  <si>
    <t>NA</t>
    <phoneticPr fontId="3" type="noConversion"/>
  </si>
  <si>
    <t>During boot</t>
    <phoneticPr fontId="3" type="noConversion"/>
  </si>
  <si>
    <t>Area 0</t>
    <phoneticPr fontId="3" type="noConversion"/>
  </si>
  <si>
    <t xml:space="preserve">App data download </t>
    <phoneticPr fontId="3" type="noConversion"/>
  </si>
  <si>
    <t>During update</t>
    <phoneticPr fontId="3" type="noConversion"/>
  </si>
  <si>
    <t>FW download slot</t>
    <phoneticPr fontId="3" type="noConversion"/>
  </si>
  <si>
    <t>FW execution slot</t>
    <phoneticPr fontId="3" type="noConversion"/>
  </si>
  <si>
    <t>Reserved</t>
    <phoneticPr fontId="3" type="noConversion"/>
  </si>
  <si>
    <t>EDATA</t>
    <phoneticPr fontId="3" type="noConversion"/>
  </si>
  <si>
    <t>Loader</t>
    <phoneticPr fontId="3" type="noConversion"/>
  </si>
  <si>
    <t>unused space</t>
    <phoneticPr fontId="3" type="noConversion"/>
  </si>
  <si>
    <t>External loader</t>
    <phoneticPr fontId="3" type="noConversion"/>
  </si>
  <si>
    <t xml:space="preserve">NVM area </t>
    <phoneticPr fontId="3" type="noConversion"/>
  </si>
  <si>
    <t>SCRATCH</t>
    <phoneticPr fontId="3" type="noConversion"/>
  </si>
  <si>
    <t>LOADER</t>
    <phoneticPr fontId="3" type="noConversion"/>
  </si>
  <si>
    <t>Size (KB)</t>
    <phoneticPr fontId="3" type="noConversion"/>
  </si>
  <si>
    <t xml:space="preserve">Flash page size </t>
    <phoneticPr fontId="3" type="noConversion"/>
  </si>
  <si>
    <t>C000000</t>
    <phoneticPr fontId="3" type="noConversion"/>
  </si>
  <si>
    <t>Code execution</t>
    <phoneticPr fontId="3" type="noConversion"/>
  </si>
  <si>
    <t xml:space="preserve">Active slot </t>
    <phoneticPr fontId="3" type="noConversion"/>
  </si>
  <si>
    <t>Header</t>
    <phoneticPr fontId="3" type="noConversion"/>
  </si>
  <si>
    <t>FW</t>
    <phoneticPr fontId="3" type="noConversion"/>
  </si>
  <si>
    <t>Trailer</t>
    <phoneticPr fontId="3" type="noConversion"/>
  </si>
  <si>
    <t>Start Address (hex)</t>
    <phoneticPr fontId="3" type="noConversion"/>
  </si>
  <si>
    <t>End Address</t>
    <phoneticPr fontId="3" type="noConversion"/>
  </si>
  <si>
    <t>Nb Flash Pages</t>
    <phoneticPr fontId="3" type="noConversion"/>
  </si>
  <si>
    <t>Flash total size</t>
    <phoneticPr fontId="3" type="noConversion"/>
  </si>
  <si>
    <t>Flash base address</t>
    <phoneticPr fontId="3" type="noConversion"/>
  </si>
  <si>
    <t>Size max (hex)</t>
  </si>
  <si>
    <t>Area 4</t>
  </si>
  <si>
    <t>Area 2</t>
  </si>
  <si>
    <t>S Data (A)</t>
  </si>
  <si>
    <t>App FW (A)</t>
  </si>
  <si>
    <t>S Data (D)</t>
  </si>
  <si>
    <t>App FW (D)</t>
  </si>
  <si>
    <t>Size (hex)</t>
  </si>
  <si>
    <t>Area 6</t>
  </si>
  <si>
    <t>Download slot?</t>
  </si>
  <si>
    <t>S data enabled?</t>
  </si>
  <si>
    <t>Swap mode?</t>
  </si>
  <si>
    <t>S data size (nb pages)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</si>
</sst>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0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charset val="134"/>
      <scheme val="minor"/>
    </font>
    <font>
      <sz val="9"/>
      <name val="Calibri"/>
      <family val="2"/>
      <charset val="134"/>
      <scheme val="minor"/>
    </font>
    <font>
      <b/>
      <sz val="11"/>
      <color theme="1"/>
      <name val="Calibri"/>
      <family val="3"/>
      <charset val="134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sz val="11"/>
      <color theme="0"/>
      <name val="Calibri"/>
      <family val="3"/>
      <charset val="134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6" fillId="0" borderId="1" xfId="0" applyNumberFormat="1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164" fontId="6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0" fillId="0" borderId="1" xfId="0" applyBorder="1" applyAlignment="1">
      <alignment horizontal="left" vertical="center"/>
    </xf>
    <xf numFmtId="0" fontId="2" fillId="0" borderId="0" xfId="0" applyFont="1">
      <alignment vertical="center"/>
    </xf>
    <xf numFmtId="0" fontId="7" fillId="0" borderId="0" xfId="0" applyFont="1">
      <alignment vertical="center"/>
    </xf>
    <xf numFmtId="0" fontId="0" fillId="3" borderId="1" xfId="0" applyFill="1" applyBorder="1">
      <alignment vertical="center"/>
    </xf>
    <xf numFmtId="0" fontId="4" fillId="3" borderId="1" xfId="0" applyFont="1" applyFill="1" applyBorder="1">
      <alignment vertical="center"/>
    </xf>
    <xf numFmtId="0" fontId="0" fillId="4" borderId="1" xfId="0" applyFill="1" applyBorder="1">
      <alignment vertical="center"/>
    </xf>
    <xf numFmtId="0" fontId="4" fillId="4" borderId="1" xfId="0" applyFont="1" applyFill="1" applyBorder="1">
      <alignment vertical="center"/>
    </xf>
    <xf numFmtId="0" fontId="4" fillId="2" borderId="0" xfId="0" applyFont="1" applyFill="1" applyBorder="1">
      <alignment vertical="center"/>
    </xf>
    <xf numFmtId="0" fontId="0" fillId="0" borderId="0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8" fillId="0" borderId="0" xfId="0" applyFont="1">
      <alignment vertical="center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unny CHEN" id="{DA7C2F05-062F-429C-8D88-B06321654FA0}" userId="S::sunny.chen@st.com::a300bb7f-0dc8-4f82-8096-8f7ada5fd4f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6" dT="2025-03-10T03:53:56.17" personId="{DA7C2F05-062F-429C-8D88-B06321654FA0}" id="{13EC26EC-1EA7-4491-A58E-BEDC1F333067}">
    <text>Need to align to 8KB page size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23FCB-07F1-46D0-9A9C-FE8B055CF38C}">
  <dimension ref="A1:K20"/>
  <sheetViews>
    <sheetView tabSelected="1" zoomScale="130" zoomScaleNormal="130" workbookViewId="0">
      <selection activeCell="I21" sqref="I21"/>
    </sheetView>
  </sheetViews>
  <sheetFormatPr defaultRowHeight="15"/>
  <cols>
    <col min="1" max="1" width="15.42578125" bestFit="1" customWidth="1"/>
    <col min="2" max="2" width="18.7109375" bestFit="1" customWidth="1"/>
    <col min="3" max="3" width="20.140625" bestFit="1" customWidth="1"/>
    <col min="4" max="4" width="14" bestFit="1" customWidth="1"/>
    <col min="5" max="5" width="18.140625" bestFit="1" customWidth="1"/>
    <col min="9" max="9" width="13.7109375" bestFit="1" customWidth="1"/>
    <col min="11" max="11" width="15" bestFit="1" customWidth="1"/>
  </cols>
  <sheetData>
    <row r="1" spans="1:11">
      <c r="A1" s="24" t="s">
        <v>43</v>
      </c>
      <c r="B1" s="10">
        <v>512</v>
      </c>
      <c r="C1" t="s">
        <v>44</v>
      </c>
      <c r="D1" t="s">
        <v>34</v>
      </c>
      <c r="H1" s="15" t="s">
        <v>5</v>
      </c>
      <c r="I1" s="16" t="s">
        <v>5</v>
      </c>
      <c r="J1" s="16" t="s">
        <v>5</v>
      </c>
      <c r="K1" s="16" t="s">
        <v>5</v>
      </c>
    </row>
    <row r="2" spans="1:11">
      <c r="A2" s="24" t="s">
        <v>33</v>
      </c>
      <c r="B2" s="10">
        <v>8</v>
      </c>
      <c r="H2" s="16" t="s">
        <v>7</v>
      </c>
      <c r="I2" s="16" t="s">
        <v>7</v>
      </c>
      <c r="J2" s="16" t="s">
        <v>7</v>
      </c>
      <c r="K2" s="16" t="s">
        <v>7</v>
      </c>
    </row>
    <row r="3" spans="1:11">
      <c r="A3" s="24" t="s">
        <v>54</v>
      </c>
      <c r="B3" s="10" t="s">
        <v>4</v>
      </c>
      <c r="H3" s="16"/>
      <c r="I3" s="16"/>
      <c r="J3" s="16"/>
      <c r="K3" s="16"/>
    </row>
    <row r="4" spans="1:11">
      <c r="A4" s="24" t="s">
        <v>55</v>
      </c>
      <c r="B4" s="10" t="s">
        <v>6</v>
      </c>
      <c r="C4" t="s">
        <v>57</v>
      </c>
      <c r="D4" s="10">
        <v>1</v>
      </c>
      <c r="H4" s="16"/>
      <c r="I4" s="16"/>
      <c r="J4" s="16"/>
      <c r="K4" s="16"/>
    </row>
    <row r="5" spans="1:11">
      <c r="A5" s="24" t="s">
        <v>56</v>
      </c>
      <c r="B5" s="10" t="s">
        <v>6</v>
      </c>
      <c r="H5" s="16"/>
      <c r="I5" s="16"/>
      <c r="J5" s="16"/>
      <c r="K5" s="16"/>
    </row>
    <row r="6" spans="1:11">
      <c r="A6" s="12" t="s">
        <v>0</v>
      </c>
      <c r="B6" s="12" t="s">
        <v>12</v>
      </c>
      <c r="C6" s="12" t="s">
        <v>16</v>
      </c>
      <c r="D6" s="12" t="s">
        <v>1</v>
      </c>
      <c r="E6" s="12" t="s">
        <v>40</v>
      </c>
      <c r="F6" s="12" t="s">
        <v>32</v>
      </c>
      <c r="G6" s="12" t="s">
        <v>52</v>
      </c>
      <c r="H6" s="12" t="s">
        <v>3</v>
      </c>
      <c r="I6" s="12" t="s">
        <v>9</v>
      </c>
      <c r="J6" s="12" t="s">
        <v>10</v>
      </c>
      <c r="K6" s="12" t="s">
        <v>35</v>
      </c>
    </row>
    <row r="7" spans="1:11" s="1" customFormat="1">
      <c r="A7" s="2" t="s">
        <v>8</v>
      </c>
      <c r="B7" s="2" t="s">
        <v>13</v>
      </c>
      <c r="C7" s="2" t="s">
        <v>17</v>
      </c>
      <c r="D7" s="2" t="s">
        <v>8</v>
      </c>
      <c r="E7" s="7" t="str">
        <f>D1</f>
        <v>C000000</v>
      </c>
      <c r="F7" s="5">
        <v>96</v>
      </c>
      <c r="G7" s="23" t="str">
        <f>DEC2HEX(F7*1024)</f>
        <v>18000</v>
      </c>
      <c r="H7" s="5" t="s">
        <v>4</v>
      </c>
      <c r="I7" s="5" t="s">
        <v>4</v>
      </c>
      <c r="J7" s="5" t="s">
        <v>4</v>
      </c>
      <c r="K7" s="5" t="s">
        <v>4</v>
      </c>
    </row>
    <row r="8" spans="1:11">
      <c r="A8" s="3" t="s">
        <v>11</v>
      </c>
      <c r="B8" s="3" t="s">
        <v>14</v>
      </c>
      <c r="C8" s="3" t="s">
        <v>17</v>
      </c>
      <c r="D8" s="3" t="s">
        <v>30</v>
      </c>
      <c r="E8" s="8" t="str">
        <f>DEC2HEX(HEX2DEC(E7)+F7*1024)</f>
        <v>C018000</v>
      </c>
      <c r="F8" s="4">
        <f>IF(UPPER(H8)="YES", 8*$B$2, 0)</f>
        <v>0</v>
      </c>
      <c r="G8" s="23" t="str">
        <f t="shared" ref="G8:G15" si="0">DEC2HEX(F8*1024)</f>
        <v>0</v>
      </c>
      <c r="H8" s="4" t="str">
        <f>$B$5</f>
        <v>No</v>
      </c>
      <c r="I8" s="4" t="s">
        <v>4</v>
      </c>
      <c r="J8" s="4" t="s">
        <v>4</v>
      </c>
      <c r="K8" s="4" t="s">
        <v>6</v>
      </c>
    </row>
    <row r="9" spans="1:11">
      <c r="A9" s="3" t="s">
        <v>48</v>
      </c>
      <c r="B9" s="3" t="s">
        <v>15</v>
      </c>
      <c r="C9" s="3" t="s">
        <v>18</v>
      </c>
      <c r="D9" s="17" t="s">
        <v>46</v>
      </c>
      <c r="E9" s="8" t="str">
        <f>DEC2HEX(HEX2DEC(E8)+F8*1024)</f>
        <v>C018000</v>
      </c>
      <c r="F9" s="4">
        <f>IF(UPPER(H9)="YES", D4*$B$2, 0)</f>
        <v>0</v>
      </c>
      <c r="G9" s="23" t="str">
        <f t="shared" si="0"/>
        <v>0</v>
      </c>
      <c r="H9" s="4" t="str">
        <f>$B$4</f>
        <v>No</v>
      </c>
      <c r="I9" s="4" t="s">
        <v>6</v>
      </c>
      <c r="J9" s="4" t="s">
        <v>4</v>
      </c>
      <c r="K9" s="4" t="s">
        <v>4</v>
      </c>
    </row>
    <row r="10" spans="1:11" s="1" customFormat="1">
      <c r="A10" s="2" t="s">
        <v>49</v>
      </c>
      <c r="B10" s="2" t="s">
        <v>23</v>
      </c>
      <c r="C10" s="2" t="s">
        <v>18</v>
      </c>
      <c r="D10" s="18" t="s">
        <v>19</v>
      </c>
      <c r="E10" s="9" t="str">
        <f>DEC2HEX(HEX2DEC(E9)+F9*1024)</f>
        <v>C018000</v>
      </c>
      <c r="F10" s="5">
        <f>ROUNDDOWN((B1-F7-F8-F9-F15-F14-F13-F12)/16,0)*8</f>
        <v>168</v>
      </c>
      <c r="G10" s="23" t="str">
        <f t="shared" si="0"/>
        <v>2A000</v>
      </c>
      <c r="H10" s="5" t="s">
        <v>5</v>
      </c>
      <c r="I10" s="5" t="s">
        <v>6</v>
      </c>
      <c r="J10" s="5" t="s">
        <v>4</v>
      </c>
      <c r="K10" s="5" t="s">
        <v>6</v>
      </c>
    </row>
    <row r="11" spans="1:11" s="1" customFormat="1">
      <c r="A11" s="2" t="s">
        <v>51</v>
      </c>
      <c r="B11" s="2" t="s">
        <v>22</v>
      </c>
      <c r="C11" s="2" t="s">
        <v>21</v>
      </c>
      <c r="D11" s="20" t="s">
        <v>47</v>
      </c>
      <c r="E11" s="9" t="str">
        <f>DEC2HEX(HEX2DEC(E10)+F10*1024)</f>
        <v>C042000</v>
      </c>
      <c r="F11" s="5">
        <f>F10</f>
        <v>168</v>
      </c>
      <c r="G11" s="23" t="str">
        <f t="shared" si="0"/>
        <v>2A000</v>
      </c>
      <c r="H11" s="5" t="str">
        <f>B3</f>
        <v>Yes</v>
      </c>
      <c r="I11" s="5" t="s">
        <v>6</v>
      </c>
      <c r="J11" s="5" t="s">
        <v>4</v>
      </c>
      <c r="K11" s="5" t="s">
        <v>6</v>
      </c>
    </row>
    <row r="12" spans="1:11">
      <c r="A12" s="3" t="s">
        <v>50</v>
      </c>
      <c r="B12" s="3" t="s">
        <v>20</v>
      </c>
      <c r="C12" s="3" t="s">
        <v>21</v>
      </c>
      <c r="D12" s="19" t="s">
        <v>53</v>
      </c>
      <c r="E12" s="8" t="str">
        <f>DEC2HEX(HEX2DEC(E11)+F11*1024)</f>
        <v>C06C000</v>
      </c>
      <c r="F12" s="4">
        <f>IF(UPPER(H12)="YES", D4*$F$9, 0)</f>
        <v>0</v>
      </c>
      <c r="G12" s="23" t="str">
        <f>DEC2HEX(F12*1024)</f>
        <v>0</v>
      </c>
      <c r="H12" s="4" t="str">
        <f>IF(UPPER($B$3)="YES", H9, 0)</f>
        <v>No</v>
      </c>
      <c r="I12" s="4" t="s">
        <v>6</v>
      </c>
      <c r="J12" s="4" t="s">
        <v>4</v>
      </c>
      <c r="K12" s="4" t="s">
        <v>6</v>
      </c>
    </row>
    <row r="13" spans="1:11">
      <c r="A13" s="3" t="s">
        <v>24</v>
      </c>
      <c r="B13" s="3" t="s">
        <v>27</v>
      </c>
      <c r="C13" s="3" t="s">
        <v>7</v>
      </c>
      <c r="D13" s="3" t="s">
        <v>17</v>
      </c>
      <c r="E13" s="8" t="str">
        <f>DEC2HEX(HEX2DEC(E14)-F13*1024)</f>
        <v>C06E000</v>
      </c>
      <c r="F13" s="4">
        <f>IF(UPPER(H13)="YES", 2*$B$2, 0)</f>
        <v>16</v>
      </c>
      <c r="G13" s="23" t="str">
        <f t="shared" si="0"/>
        <v>4000</v>
      </c>
      <c r="H13" s="4" t="s">
        <v>4</v>
      </c>
      <c r="I13" s="4" t="s">
        <v>6</v>
      </c>
      <c r="J13" s="4" t="s">
        <v>4</v>
      </c>
      <c r="K13" s="4" t="s">
        <v>6</v>
      </c>
    </row>
    <row r="14" spans="1:11" s="1" customFormat="1">
      <c r="A14" s="2" t="s">
        <v>26</v>
      </c>
      <c r="B14" s="2" t="s">
        <v>28</v>
      </c>
      <c r="C14" s="2" t="s">
        <v>7</v>
      </c>
      <c r="D14" s="2" t="s">
        <v>31</v>
      </c>
      <c r="E14" s="9" t="str">
        <f>DEC2HEX(HEX2DEC(E15)-F14*1024)</f>
        <v>C072000</v>
      </c>
      <c r="F14" s="5">
        <v>48</v>
      </c>
      <c r="G14" s="23" t="str">
        <f t="shared" si="0"/>
        <v>C000</v>
      </c>
      <c r="H14" s="5" t="s">
        <v>4</v>
      </c>
      <c r="I14" s="5" t="s">
        <v>6</v>
      </c>
      <c r="J14" s="5" t="s">
        <v>4</v>
      </c>
      <c r="K14" s="5" t="s">
        <v>6</v>
      </c>
    </row>
    <row r="15" spans="1:11" s="1" customFormat="1">
      <c r="A15" s="2" t="s">
        <v>25</v>
      </c>
      <c r="B15" s="2" t="s">
        <v>29</v>
      </c>
      <c r="C15" s="2" t="s">
        <v>7</v>
      </c>
      <c r="D15" s="2" t="s">
        <v>25</v>
      </c>
      <c r="E15" s="9" t="str">
        <f>DEC2HEX((B1-F15)*1024 + HEX2DEC(D1))</f>
        <v>C07E000</v>
      </c>
      <c r="F15" s="5">
        <f>1*B2</f>
        <v>8</v>
      </c>
      <c r="G15" s="23" t="str">
        <f t="shared" si="0"/>
        <v>2000</v>
      </c>
      <c r="H15" s="5" t="s">
        <v>4</v>
      </c>
      <c r="I15" s="5" t="s">
        <v>6</v>
      </c>
      <c r="J15" s="5" t="s">
        <v>4</v>
      </c>
      <c r="K15" s="5" t="s">
        <v>6</v>
      </c>
    </row>
    <row r="17" spans="1:7">
      <c r="A17" s="12" t="s">
        <v>36</v>
      </c>
      <c r="B17" s="12" t="s">
        <v>2</v>
      </c>
      <c r="C17" s="12" t="s">
        <v>41</v>
      </c>
      <c r="D17" s="12" t="s">
        <v>45</v>
      </c>
      <c r="E17" s="12" t="s">
        <v>42</v>
      </c>
      <c r="F17" s="12" t="s">
        <v>32</v>
      </c>
      <c r="G17" s="21"/>
    </row>
    <row r="18" spans="1:7">
      <c r="A18" s="2" t="s">
        <v>37</v>
      </c>
      <c r="B18" s="6" t="str">
        <f>E10</f>
        <v>C018000</v>
      </c>
      <c r="C18" s="13" t="str">
        <f>DEC2HEX(HEX2DEC(B18)+HEX2DEC(D18)-1)</f>
        <v>C0183FF</v>
      </c>
      <c r="D18" s="14">
        <v>400</v>
      </c>
      <c r="E18" s="14">
        <f>HEX2DEC(D18)/$B$2/1024</f>
        <v>0.125</v>
      </c>
      <c r="F18" s="4">
        <f>HEX2DEC(D18)/1024</f>
        <v>1</v>
      </c>
      <c r="G18" s="22"/>
    </row>
    <row r="19" spans="1:7">
      <c r="A19" s="2" t="s">
        <v>38</v>
      </c>
      <c r="B19" s="11" t="str">
        <f>DEC2HEX(HEX2DEC(B18)+HEX2DEC(D18))</f>
        <v>C018400</v>
      </c>
      <c r="C19" s="13" t="str">
        <f>DEC2HEX(HEX2DEC(B19)+HEX2DEC(D19)-1)</f>
        <v>C041BFF</v>
      </c>
      <c r="D19" s="14" t="str">
        <f>DEC2HEX((F10)*1024-HEX2DEC(D18)-HEX2DEC(D20))</f>
        <v>29800</v>
      </c>
      <c r="E19" s="14">
        <f t="shared" ref="E19:E20" si="1">HEX2DEC(D19)/$B$2/1024</f>
        <v>20.75</v>
      </c>
      <c r="F19" s="4">
        <f t="shared" ref="F19:F20" si="2">HEX2DEC(D19)/1024</f>
        <v>166</v>
      </c>
      <c r="G19" s="22"/>
    </row>
    <row r="20" spans="1:7">
      <c r="A20" s="2" t="s">
        <v>39</v>
      </c>
      <c r="B20" s="11" t="str">
        <f>DEC2HEX((HEX2DEC(B18)+F10*1024)-HEX2DEC(D20))</f>
        <v>C041C00</v>
      </c>
      <c r="C20" s="13" t="str">
        <f>DEC2HEX(HEX2DEC(B20)+HEX2DEC(D20)-1)</f>
        <v>C041FFF</v>
      </c>
      <c r="D20" s="14">
        <v>400</v>
      </c>
      <c r="E20" s="14">
        <f t="shared" si="1"/>
        <v>0.125</v>
      </c>
      <c r="F20" s="4">
        <f t="shared" si="2"/>
        <v>1</v>
      </c>
      <c r="G20" s="22"/>
    </row>
  </sheetData>
  <phoneticPr fontId="3" type="noConversion"/>
  <conditionalFormatting sqref="H7:K15">
    <cfRule type="cellIs" dxfId="2" priority="3" operator="equal">
      <formula>"Yes"</formula>
    </cfRule>
  </conditionalFormatting>
  <conditionalFormatting sqref="B3:B5">
    <cfRule type="cellIs" dxfId="1" priority="1" operator="equal">
      <formula>"No"</formula>
    </cfRule>
    <cfRule type="cellIs" dxfId="0" priority="2" operator="equal">
      <formula>"Yes"</formula>
    </cfRule>
  </conditionalFormatting>
  <dataValidations count="8">
    <dataValidation type="list" allowBlank="1" showInputMessage="1" showErrorMessage="1" sqref="I7:K10 H11:K15 H8" xr:uid="{0AB68875-50C4-4C4A-899E-1034362D38A6}">
      <formula1>$I$1:$I$2</formula1>
    </dataValidation>
    <dataValidation type="whole" operator="equal" allowBlank="1" showInputMessage="1" showErrorMessage="1" sqref="F7" xr:uid="{F70CAB97-7C35-46A8-80C4-398CB2556795}">
      <formula1>96</formula1>
    </dataValidation>
    <dataValidation type="list" allowBlank="1" showInputMessage="1" showErrorMessage="1" sqref="H7 H10" xr:uid="{086C481C-D36E-437A-9AC5-9FB8DA1FBD4A}">
      <formula1>$I$1</formula1>
    </dataValidation>
    <dataValidation type="whole" operator="lessThan" allowBlank="1" showInputMessage="1" showErrorMessage="1" sqref="C19" xr:uid="{D6FA7859-AA3C-4242-A896-2F85780AF254}">
      <formula1>B20</formula1>
    </dataValidation>
    <dataValidation type="whole" allowBlank="1" showInputMessage="1" showErrorMessage="1" sqref="F8:F9 F12:F15 F10:F11" xr:uid="{55A5B966-5FA6-4DAB-8198-D4659C47FBFA}">
      <formula1>0</formula1>
      <formula2>512</formula2>
    </dataValidation>
    <dataValidation type="list" allowBlank="1" showInputMessage="1" showErrorMessage="1" sqref="B3:B5" xr:uid="{4BE1B0BC-FCD7-4C01-B98E-07DF4BF571E2}">
      <formula1>$H$1:$H$2</formula1>
    </dataValidation>
    <dataValidation type="list" allowBlank="1" showInputMessage="1" showErrorMessage="1" sqref="H9" xr:uid="{E24C9E79-E2F6-4F3B-82E0-4F94A38438A4}">
      <formula1>$B$4</formula1>
    </dataValidation>
    <dataValidation type="whole" operator="lessThanOrEqual" allowBlank="1" showInputMessage="1" showErrorMessage="1" sqref="E12 E13" xr:uid="{DC101747-246C-4190-8598-2286FB0E23DE}">
      <formula1>E13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cf8c7287-838c-46dd-b281-b1140229e67a}" enabled="1" method="Privileged" siteId="{75e027c9-20d5-47d5-b82f-77d7cd041e8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OEMiROT + S only App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建瓯 乔</dc:creator>
  <cp:lastModifiedBy>Sunny CHEN</cp:lastModifiedBy>
  <dcterms:created xsi:type="dcterms:W3CDTF">2025-03-08T02:31:46Z</dcterms:created>
  <dcterms:modified xsi:type="dcterms:W3CDTF">2025-03-10T05:25:49Z</dcterms:modified>
</cp:coreProperties>
</file>